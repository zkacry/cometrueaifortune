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原価計算" sheetId="1" state="visible" r:id="rId1"/>
    <sheet xmlns:r="http://schemas.openxmlformats.org/officeDocument/2006/relationships" name="2_収益シミュレーション" sheetId="2" state="visible" r:id="rId2"/>
    <sheet xmlns:r="http://schemas.openxmlformats.org/officeDocument/2006/relationships" name="3_価格感応度" sheetId="3" state="visible" r:id="rId3"/>
    <sheet xmlns:r="http://schemas.openxmlformats.org/officeDocument/2006/relationships" name="4_競合比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0"/>
    <numFmt numFmtId="165" formatCode="$#,##0.0000000"/>
    <numFmt numFmtId="166" formatCode="#,##0.00&quot;円&quot;"/>
    <numFmt numFmtId="167" formatCode="#,##0&quot;円&quot;;(#,##0&quot;円&quot;);&quot;-&quot;"/>
    <numFmt numFmtId="168" formatCode="0.0%;(0.0%);&quot;-&quot;"/>
    <numFmt numFmtId="169" formatCode="0.0%;-0.0%;-"/>
  </numFmts>
  <fonts count="1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555555"/>
      <sz val="9"/>
    </font>
    <font>
      <name val="Arial"/>
      <b val="1"/>
      <color rgb="FF2D2D5E"/>
      <sz val="11"/>
    </font>
    <font>
      <name val="Arial"/>
      <color rgb="FF000000"/>
      <sz val="11"/>
    </font>
    <font>
      <name val="Arial"/>
      <color rgb="FF0000FF"/>
      <sz val="11"/>
    </font>
    <font>
      <name val="Arial"/>
      <b val="1"/>
      <color rgb="FFFFFFFF"/>
      <sz val="11"/>
    </font>
    <font>
      <name val="Arial"/>
      <i val="1"/>
      <color rgb="FF666666"/>
      <sz val="9"/>
    </font>
    <font>
      <name val="Arial"/>
      <color rgb="FF008000"/>
      <sz val="11"/>
    </font>
    <font>
      <name val="Arial"/>
      <b val="1"/>
      <color rgb="FF000000"/>
      <sz val="11"/>
    </font>
    <font>
      <name val="Arial"/>
      <b val="1"/>
      <color rgb="FF000000"/>
      <sz val="12"/>
    </font>
    <font>
      <name val="Arial"/>
      <b val="1"/>
      <color rgb="FF0000FF"/>
      <sz val="11"/>
    </font>
    <font>
      <name val="Arial"/>
      <b val="1"/>
      <color rgb="FF008000"/>
      <sz val="11"/>
    </font>
    <font>
      <name val="Arial"/>
      <color rgb="FF000000"/>
      <sz val="10"/>
    </font>
    <font>
      <name val="Arial"/>
      <b val="1"/>
      <color rgb="FFFFFFFF"/>
      <sz val="10"/>
    </font>
    <font>
      <name val="Arial"/>
      <color rgb="FF000000"/>
      <sz val="9"/>
    </font>
  </fonts>
  <fills count="11">
    <fill>
      <patternFill/>
    </fill>
    <fill>
      <patternFill patternType="gray125"/>
    </fill>
    <fill>
      <patternFill patternType="solid">
        <fgColor rgb="FF2D2D5E"/>
        <bgColor rgb="FF2D2D5E"/>
      </patternFill>
    </fill>
    <fill>
      <patternFill patternType="solid">
        <fgColor rgb="FFD8D8F0"/>
        <bgColor rgb="FFD8D8F0"/>
      </patternFill>
    </fill>
    <fill>
      <patternFill patternType="solid">
        <fgColor rgb="FFEEF4FF"/>
        <bgColor rgb="FFEEF4FF"/>
      </patternFill>
    </fill>
    <fill>
      <patternFill patternType="solid">
        <fgColor rgb="FFF5F5FF"/>
        <bgColor rgb="FFF5F5FF"/>
      </patternFill>
    </fill>
    <fill>
      <patternFill patternType="solid">
        <fgColor rgb="FFF0FFF0"/>
        <bgColor rgb="FFF0FFF0"/>
      </patternFill>
    </fill>
    <fill>
      <patternFill patternType="solid">
        <fgColor rgb="FFFFF0F0"/>
        <bgColor rgb="FFFFF0F0"/>
      </patternFill>
    </fill>
    <fill>
      <patternFill patternType="solid">
        <fgColor rgb="FFF5FFF5"/>
        <bgColor rgb="FFF5FFF5"/>
      </patternFill>
    </fill>
    <fill>
      <patternFill patternType="solid">
        <fgColor rgb="FFFFFF00"/>
        <bgColor rgb="FFFFFF00"/>
      </patternFill>
    </fill>
    <fill>
      <patternFill patternType="solid">
        <fgColor rgb="FF4A4A8A"/>
        <bgColor rgb="FF4A4A8A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top style="medium">
        <color rgb="FF888888"/>
      </top>
      <bottom style="medium">
        <color rgb="FF888888"/>
      </bottom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167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166" fontId="8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167" fontId="9" fillId="6" borderId="1" applyAlignment="1" pivotButton="0" quotePrefix="0" xfId="0">
      <alignment horizontal="right" vertical="center"/>
    </xf>
    <xf numFmtId="167" fontId="9" fillId="7" borderId="1" applyAlignment="1" pivotButton="0" quotePrefix="0" xfId="0">
      <alignment horizontal="right" vertical="center"/>
    </xf>
    <xf numFmtId="167" fontId="10" fillId="8" borderId="5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7" fontId="9" fillId="0" borderId="1" applyAlignment="1" pivotButton="0" quotePrefix="0" xfId="0">
      <alignment horizontal="right" vertical="center"/>
    </xf>
    <xf numFmtId="167" fontId="11" fillId="9" borderId="1" applyAlignment="1" pivotButton="0" quotePrefix="0" xfId="0">
      <alignment horizontal="right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right" vertical="center"/>
    </xf>
    <xf numFmtId="0" fontId="4" fillId="5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5" borderId="1" pivotButton="0" quotePrefix="0" xfId="0"/>
    <xf numFmtId="0" fontId="13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167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167" fontId="9" fillId="6" borderId="1" applyAlignment="1" pivotButton="0" quotePrefix="0" xfId="0">
      <alignment horizontal="right" vertical="center"/>
    </xf>
    <xf numFmtId="167" fontId="9" fillId="7" borderId="1" applyAlignment="1" pivotButton="0" quotePrefix="0" xfId="0">
      <alignment horizontal="right" vertical="center"/>
    </xf>
    <xf numFmtId="167" fontId="10" fillId="8" borderId="5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7" fontId="9" fillId="0" borderId="1" applyAlignment="1" pivotButton="0" quotePrefix="0" xfId="0">
      <alignment horizontal="right" vertical="center"/>
    </xf>
    <xf numFmtId="167" fontId="11" fillId="9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9" fontId="4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169" fontId="9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8" customWidth="1" min="5" max="5"/>
    <col width="28" customWidth="1" min="6" max="6"/>
    <col width="14" customWidth="1" min="7" max="7"/>
  </cols>
  <sheetData>
    <row r="1" ht="30" customHeight="1">
      <c r="A1" s="1" t="inlineStr">
        <is>
          <t>マイフォーチューン — 原価・コスト分析</t>
        </is>
      </c>
    </row>
    <row r="2">
      <c r="A2" s="2" t="inlineStr">
        <is>
          <t>■ 青文字=入力値（変更可）　■ 黒文字=計算式　■ 緑文字=他シート参照</t>
        </is>
      </c>
    </row>
    <row r="4" ht="22" customHeight="1">
      <c r="A4" s="3" t="inlineStr">
        <is>
          <t>【基本前提】</t>
        </is>
      </c>
      <c r="B4" s="33" t="n"/>
      <c r="C4" s="33" t="n"/>
      <c r="D4" s="33" t="n"/>
      <c r="E4" s="33" t="n"/>
      <c r="F4" s="33" t="n"/>
      <c r="G4" s="15" t="n"/>
    </row>
    <row r="5">
      <c r="A5" s="4" t="inlineStr">
        <is>
          <t>USD/JPY レート</t>
        </is>
      </c>
      <c r="B5" s="5" t="n">
        <v>155</v>
      </c>
      <c r="C5" s="4" t="inlineStr">
        <is>
          <t>円</t>
        </is>
      </c>
    </row>
    <row r="6">
      <c r="A6" s="4" t="inlineStr">
        <is>
          <t>1回の占いあたり 入力トークン</t>
        </is>
      </c>
      <c r="B6" s="5" t="n">
        <v>800</v>
      </c>
      <c r="C6" s="4" t="inlineStr">
        <is>
          <t>tokens</t>
        </is>
      </c>
    </row>
    <row r="7">
      <c r="A7" s="4" t="inlineStr">
        <is>
          <t>1回の占いあたり 出力トークン</t>
        </is>
      </c>
      <c r="B7" s="5" t="n">
        <v>600</v>
      </c>
      <c r="C7" s="4" t="inlineStr">
        <is>
          <t>tokens</t>
        </is>
      </c>
    </row>
    <row r="9" ht="22" customHeight="1">
      <c r="A9" s="3" t="inlineStr">
        <is>
          <t>【AI APIコスト（1回の占いあたり）】</t>
        </is>
      </c>
      <c r="B9" s="33" t="n"/>
      <c r="C9" s="33" t="n"/>
      <c r="D9" s="33" t="n"/>
      <c r="E9" s="33" t="n"/>
      <c r="F9" s="33" t="n"/>
      <c r="G9" s="15" t="n"/>
    </row>
    <row r="10" ht="28" customHeight="1">
      <c r="A10" s="6" t="inlineStr">
        <is>
          <t>プロバイダー</t>
        </is>
      </c>
      <c r="B10" s="6" t="inlineStr">
        <is>
          <t>入力 $/M tokens</t>
        </is>
      </c>
      <c r="C10" s="6" t="inlineStr">
        <is>
          <t>出力 $/M tokens</t>
        </is>
      </c>
      <c r="D10" s="6" t="inlineStr">
        <is>
          <t>1回コスト($)</t>
        </is>
      </c>
      <c r="E10" s="6" t="inlineStr">
        <is>
          <t>1回コスト(¥)</t>
        </is>
      </c>
      <c r="F10" s="6" t="inlineStr">
        <is>
          <t>備考</t>
        </is>
      </c>
      <c r="G10" s="6" t="inlineStr">
        <is>
          <t>優先順</t>
        </is>
      </c>
    </row>
    <row r="11">
      <c r="A11" s="4" t="inlineStr">
        <is>
          <t>DeepSeek deepseek-chat</t>
        </is>
      </c>
      <c r="B11" s="7" t="n">
        <v>0.14</v>
      </c>
      <c r="C11" s="7" t="n">
        <v>0.28</v>
      </c>
      <c r="D11" s="8">
        <f>(B6*B11+B7*C11)/1000000</f>
        <v/>
      </c>
      <c r="E11" s="9">
        <f>D11*B5</f>
        <v/>
      </c>
      <c r="F11" s="4" t="inlineStr">
        <is>
          <t>主力プロバイダー（最安）</t>
        </is>
      </c>
      <c r="G11" s="5" t="n">
        <v>1</v>
      </c>
    </row>
    <row r="12">
      <c r="A12" s="4" t="inlineStr">
        <is>
          <t>Gemini 2.0 Flash Lite</t>
        </is>
      </c>
      <c r="B12" s="7" t="n">
        <v>0.075</v>
      </c>
      <c r="C12" s="7" t="n">
        <v>0.3</v>
      </c>
      <c r="D12" s="8">
        <f>(B6*B12+B7*C12)/1000000</f>
        <v/>
      </c>
      <c r="E12" s="9">
        <f>D12*B5</f>
        <v/>
      </c>
      <c r="F12" s="4" t="inlineStr">
        <is>
          <t>フォールバック①</t>
        </is>
      </c>
      <c r="G12" s="5" t="n">
        <v>2</v>
      </c>
    </row>
    <row r="13">
      <c r="A13" s="4" t="inlineStr">
        <is>
          <t>Claude Haiku 4.5</t>
        </is>
      </c>
      <c r="B13" s="7" t="n">
        <v>0.8</v>
      </c>
      <c r="C13" s="7" t="n">
        <v>4</v>
      </c>
      <c r="D13" s="8">
        <f>(B6*B13+B7*C13)/1000000</f>
        <v/>
      </c>
      <c r="E13" s="9">
        <f>D13*B5</f>
        <v/>
      </c>
      <c r="F13" s="4" t="inlineStr">
        <is>
          <t>フォールバック②（最終）</t>
        </is>
      </c>
      <c r="G13" s="5" t="n">
        <v>3</v>
      </c>
    </row>
    <row r="15" ht="22" customHeight="1">
      <c r="A15" s="3" t="inlineStr">
        <is>
          <t>【プランごとのユーザー1人あたり 月間AIコスト】</t>
        </is>
      </c>
      <c r="B15" s="33" t="n"/>
      <c r="C15" s="33" t="n"/>
      <c r="D15" s="33" t="n"/>
      <c r="E15" s="33" t="n"/>
      <c r="F15" s="33" t="n"/>
      <c r="G15" s="15" t="n"/>
    </row>
    <row r="16" ht="28" customHeight="1">
      <c r="A16" s="6" t="inlineStr">
        <is>
          <t>プラン</t>
        </is>
      </c>
      <c r="B16" s="6" t="inlineStr">
        <is>
          <t>月間占い回数上限</t>
        </is>
      </c>
      <c r="C16" s="6" t="inlineStr">
        <is>
          <t>DeepSeek使用時(¥)</t>
        </is>
      </c>
      <c r="D16" s="6" t="inlineStr">
        <is>
          <t>Gemini使用時(¥)</t>
        </is>
      </c>
      <c r="E16" s="6" t="inlineStr">
        <is>
          <t>Claude使用時(¥)</t>
        </is>
      </c>
      <c r="F16" s="6" t="inlineStr">
        <is>
          <t>主力想定コスト(¥)</t>
        </is>
      </c>
      <c r="G16" s="6" t="inlineStr"/>
    </row>
    <row r="17">
      <c r="A17" s="4" t="inlineStr">
        <is>
          <t>Free（無料）</t>
        </is>
      </c>
      <c r="B17" s="5" t="n">
        <v>10</v>
      </c>
      <c r="C17" s="9">
        <f>B17*E11</f>
        <v/>
      </c>
      <c r="D17" s="9">
        <f>B17*E12</f>
        <v/>
      </c>
      <c r="E17" s="9">
        <f>B17*E13</f>
        <v/>
      </c>
      <c r="F17" s="9">
        <f>C17</f>
        <v/>
      </c>
    </row>
    <row r="18">
      <c r="A18" s="10" t="inlineStr">
        <is>
          <t>Light（¥680/月）</t>
        </is>
      </c>
      <c r="B18" s="5" t="n">
        <v>50</v>
      </c>
      <c r="C18" s="9">
        <f>B18*E11</f>
        <v/>
      </c>
      <c r="D18" s="9">
        <f>B18*E12</f>
        <v/>
      </c>
      <c r="E18" s="9">
        <f>B18*E13</f>
        <v/>
      </c>
      <c r="F18" s="9">
        <f>C18</f>
        <v/>
      </c>
    </row>
    <row r="19">
      <c r="A19" s="4" t="inlineStr">
        <is>
          <t>Pro（¥1,500/月）</t>
        </is>
      </c>
      <c r="B19" s="5" t="n">
        <v>300</v>
      </c>
      <c r="C19" s="9">
        <f>B19*E11</f>
        <v/>
      </c>
      <c r="D19" s="9">
        <f>B19*E12</f>
        <v/>
      </c>
      <c r="E19" s="9">
        <f>B19*E13</f>
        <v/>
      </c>
      <c r="F19" s="9">
        <f>C19</f>
        <v/>
      </c>
    </row>
    <row r="21" ht="22" customHeight="1">
      <c r="A21" s="3" t="inlineStr">
        <is>
          <t>【Google Play 手数料と純売上】</t>
        </is>
      </c>
      <c r="B21" s="33" t="n"/>
      <c r="C21" s="33" t="n"/>
      <c r="D21" s="33" t="n"/>
      <c r="E21" s="33" t="n"/>
      <c r="F21" s="33" t="n"/>
      <c r="G21" s="15" t="n"/>
    </row>
    <row r="22" ht="28" customHeight="1">
      <c r="A22" s="6" t="inlineStr">
        <is>
          <t>プラン</t>
        </is>
      </c>
      <c r="B22" s="6" t="inlineStr">
        <is>
          <t>定価(¥)</t>
        </is>
      </c>
      <c r="C22" s="6" t="inlineStr">
        <is>
          <t>手数料率（1年目30%）</t>
        </is>
      </c>
      <c r="D22" s="6" t="inlineStr">
        <is>
          <t>手数料率（2年目~15%）</t>
        </is>
      </c>
      <c r="E22" s="6" t="inlineStr">
        <is>
          <t>純売上1年目(¥)</t>
        </is>
      </c>
      <c r="F22" s="6" t="inlineStr">
        <is>
          <t>純売上2年目~(¥)</t>
        </is>
      </c>
      <c r="G22" s="6" t="inlineStr"/>
    </row>
    <row r="23">
      <c r="A23" s="4" t="inlineStr">
        <is>
          <t>Lightプラン</t>
        </is>
      </c>
      <c r="B23" s="34" t="n">
        <v>680</v>
      </c>
      <c r="C23" s="35" t="n">
        <v>0.3</v>
      </c>
      <c r="D23" s="35" t="n">
        <v>0.15</v>
      </c>
      <c r="E23" s="36">
        <f>B23*(1-C23)</f>
        <v/>
      </c>
      <c r="F23" s="36">
        <f>B23*(1-D23)</f>
        <v/>
      </c>
    </row>
    <row r="24">
      <c r="A24" s="10" t="inlineStr">
        <is>
          <t>Proプラン</t>
        </is>
      </c>
      <c r="B24" s="34" t="n">
        <v>1500</v>
      </c>
      <c r="C24" s="35" t="n">
        <v>0.3</v>
      </c>
      <c r="D24" s="35" t="n">
        <v>0.15</v>
      </c>
      <c r="E24" s="36">
        <f>B24*(1-C24)</f>
        <v/>
      </c>
      <c r="F24" s="36">
        <f>B24*(1-D24)</f>
        <v/>
      </c>
    </row>
    <row r="27">
      <c r="A27" s="14" t="inlineStr">
        <is>
          <t>※ 入力値（青）は実際の料金体系変更時に更新してください。手数料率はGoogle Play Small Business Program適用を前提（年間$1M以下）</t>
        </is>
      </c>
    </row>
  </sheetData>
  <mergeCells count="10">
    <mergeCell ref="A1:G1"/>
    <mergeCell ref="A9:G9"/>
    <mergeCell ref="A27:G27"/>
    <mergeCell ref="A21:G21"/>
    <mergeCell ref="D6:G6"/>
    <mergeCell ref="A4:G4"/>
    <mergeCell ref="D7:G7"/>
    <mergeCell ref="A2:G2"/>
    <mergeCell ref="A15:G15"/>
    <mergeCell ref="D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" customWidth="1" min="5" max="5"/>
    <col width="30" customWidth="1" min="6" max="6"/>
    <col width="14" customWidth="1" min="7" max="7"/>
  </cols>
  <sheetData>
    <row r="1" ht="30" customHeight="1">
      <c r="A1" s="1" t="inlineStr">
        <is>
          <t>マイフォーチューン — 収益シミュレーション（3シナリオ）</t>
        </is>
      </c>
    </row>
    <row r="2"/>
    <row r="3" ht="22" customHeight="1">
      <c r="A3" s="3" t="inlineStr">
        <is>
          <t>【シナリオ前提（青文字を変更してシミュレーション）】</t>
        </is>
      </c>
      <c r="B3" s="33" t="n"/>
      <c r="C3" s="33" t="n"/>
      <c r="D3" s="33" t="n"/>
      <c r="E3" s="33" t="n"/>
      <c r="F3" s="33" t="n"/>
      <c r="G3" s="15" t="n"/>
    </row>
    <row r="4" ht="24" customHeight="1">
      <c r="A4" s="6" t="inlineStr">
        <is>
          <t>前提項目</t>
        </is>
      </c>
      <c r="B4" s="6" t="inlineStr">
        <is>
          <t>保守的</t>
        </is>
      </c>
      <c r="C4" s="6" t="inlineStr">
        <is>
          <t>標準</t>
        </is>
      </c>
      <c r="D4" s="6" t="inlineStr">
        <is>
          <t>楽観的</t>
        </is>
      </c>
      <c r="E4" s="6" t="inlineStr"/>
      <c r="F4" s="6" t="inlineStr">
        <is>
          <t>説明</t>
        </is>
      </c>
      <c r="G4" s="6" t="inlineStr"/>
    </row>
    <row r="5">
      <c r="A5" s="4" t="inlineStr">
        <is>
          <t>月間新規DL数（人）</t>
        </is>
      </c>
      <c r="B5" s="5" t="n">
        <v>500</v>
      </c>
      <c r="C5" s="5" t="n">
        <v>2000</v>
      </c>
      <c r="D5" s="5" t="n">
        <v>5000</v>
      </c>
      <c r="E5" s="4" t="inlineStr"/>
      <c r="F5" s="4" t="inlineStr">
        <is>
          <t>アプリストアからの新規インストール数/月</t>
        </is>
      </c>
      <c r="G5" s="15" t="n"/>
    </row>
    <row r="6">
      <c r="A6" s="10" t="inlineStr">
        <is>
          <t>累積アクティブユーザー（6ヶ月後）</t>
        </is>
      </c>
      <c r="B6" s="5" t="n">
        <v>1500</v>
      </c>
      <c r="C6" s="5" t="n">
        <v>8000</v>
      </c>
      <c r="D6" s="5" t="n">
        <v>25000</v>
      </c>
      <c r="E6" s="4" t="inlineStr"/>
      <c r="F6" s="10" t="inlineStr">
        <is>
          <t>継続利用ユーザーの推定累積数</t>
        </is>
      </c>
      <c r="G6" s="15" t="n"/>
    </row>
    <row r="7">
      <c r="A7" s="4" t="inlineStr">
        <is>
          <t>有料転換率</t>
        </is>
      </c>
      <c r="B7" s="35" t="n">
        <v>0.015</v>
      </c>
      <c r="C7" s="35" t="n">
        <v>0.03</v>
      </c>
      <c r="D7" s="35" t="n">
        <v>0.05</v>
      </c>
      <c r="E7" s="4" t="inlineStr"/>
      <c r="F7" s="4" t="inlineStr">
        <is>
          <t>Free→有料プランへの転換率</t>
        </is>
      </c>
      <c r="G7" s="15" t="n"/>
    </row>
    <row r="8">
      <c r="A8" s="10" t="inlineStr">
        <is>
          <t>Lightプラン比率（有料中）</t>
        </is>
      </c>
      <c r="B8" s="35" t="n">
        <v>0.7</v>
      </c>
      <c r="C8" s="35" t="n">
        <v>0.65</v>
      </c>
      <c r="D8" s="35" t="n">
        <v>0.6</v>
      </c>
      <c r="E8" s="4" t="inlineStr"/>
      <c r="F8" s="10" t="inlineStr">
        <is>
          <t>有料ユーザーのうちLightプラン加入割合</t>
        </is>
      </c>
      <c r="G8" s="15" t="n"/>
    </row>
    <row r="9">
      <c r="A9" s="4" t="inlineStr">
        <is>
          <t>月次チャーン率（解約率）</t>
        </is>
      </c>
      <c r="B9" s="35" t="n">
        <v>0.08</v>
      </c>
      <c r="C9" s="35" t="n">
        <v>0.05</v>
      </c>
      <c r="D9" s="35" t="n">
        <v>0.03</v>
      </c>
      <c r="E9" s="4" t="inlineStr"/>
      <c r="F9" s="4" t="inlineStr">
        <is>
          <t>有料ユーザーの月次解約率</t>
        </is>
      </c>
      <c r="G9" s="15" t="n"/>
    </row>
    <row r="10">
      <c r="A10" s="10" t="inlineStr">
        <is>
          <t>DeepSeek 1回コスト(¥) ※Sheet1参照</t>
        </is>
      </c>
      <c r="B10" s="16">
        <f>'1_原価計算'!E11</f>
        <v/>
      </c>
      <c r="C10" s="16">
        <f>'1_原価計算'!E11</f>
        <v/>
      </c>
      <c r="D10" s="16">
        <f>'1_原価計算'!E11</f>
        <v/>
      </c>
      <c r="E10" s="4" t="inlineStr"/>
      <c r="F10" s="10" t="inlineStr">
        <is>
          <t>占い1回あたりのAIコスト</t>
        </is>
      </c>
      <c r="G10" s="15" t="n"/>
    </row>
    <row r="11">
      <c r="A11" s="4" t="inlineStr">
        <is>
          <t>Light月間利用回数（想定）</t>
        </is>
      </c>
      <c r="B11" s="5" t="n">
        <v>40</v>
      </c>
      <c r="C11" s="5" t="n">
        <v>45</v>
      </c>
      <c r="D11" s="5" t="n">
        <v>50</v>
      </c>
      <c r="E11" s="4" t="inlineStr"/>
      <c r="F11" s="4" t="inlineStr">
        <is>
          <t>実際の使用回数（上限50）</t>
        </is>
      </c>
      <c r="G11" s="15" t="n"/>
    </row>
    <row r="12">
      <c r="A12" s="10" t="inlineStr">
        <is>
          <t>Pro月間利用回数（想定）</t>
        </is>
      </c>
      <c r="B12" s="5" t="n">
        <v>150</v>
      </c>
      <c r="C12" s="5" t="n">
        <v>200</v>
      </c>
      <c r="D12" s="5" t="n">
        <v>280</v>
      </c>
      <c r="E12" s="4" t="inlineStr"/>
      <c r="F12" s="10" t="inlineStr">
        <is>
          <t>実際の使用回数（上限300）</t>
        </is>
      </c>
      <c r="G12" s="15" t="n"/>
    </row>
    <row r="13"/>
    <row r="14" ht="22" customHeight="1">
      <c r="A14" s="3" t="inlineStr">
        <is>
          <t>【月次収益・コスト・利益（6ヶ月後 安定期）】</t>
        </is>
      </c>
      <c r="B14" s="33" t="n"/>
      <c r="C14" s="33" t="n"/>
      <c r="D14" s="33" t="n"/>
      <c r="E14" s="33" t="n"/>
      <c r="F14" s="33" t="n"/>
      <c r="G14" s="15" t="n"/>
    </row>
    <row r="15" ht="24" customHeight="1">
      <c r="A15" s="6" t="inlineStr">
        <is>
          <t>計算項目</t>
        </is>
      </c>
      <c r="B15" s="6" t="inlineStr">
        <is>
          <t>保守的</t>
        </is>
      </c>
      <c r="C15" s="6" t="inlineStr">
        <is>
          <t>標準</t>
        </is>
      </c>
      <c r="D15" s="6" t="inlineStr">
        <is>
          <t>楽観的</t>
        </is>
      </c>
      <c r="E15" s="6" t="inlineStr"/>
      <c r="F15" s="6" t="inlineStr">
        <is>
          <t>計算式メモ</t>
        </is>
      </c>
      <c r="G15" s="6" t="inlineStr"/>
    </row>
    <row r="16">
      <c r="A16" s="4" t="inlineStr">
        <is>
          <t>有料ユーザー総数（人）</t>
        </is>
      </c>
      <c r="B16" s="17">
        <f>ROUND(B6*B7,0)</f>
        <v/>
      </c>
      <c r="C16" s="17">
        <f>ROUND(C6*C7,0)</f>
        <v/>
      </c>
      <c r="D16" s="17">
        <f>ROUND(D6*D7,0)</f>
        <v/>
      </c>
      <c r="E16" s="4" t="inlineStr"/>
      <c r="F16" s="4" t="inlineStr">
        <is>
          <t>累積ユーザー × 転換率</t>
        </is>
      </c>
      <c r="G16" s="15" t="n"/>
    </row>
    <row r="17">
      <c r="A17" s="10" t="inlineStr">
        <is>
          <t xml:space="preserve">　うち Lightプラン（人）</t>
        </is>
      </c>
      <c r="B17" s="17">
        <f>ROUND(B16*B8,0)</f>
        <v/>
      </c>
      <c r="C17" s="17">
        <f>ROUND(C16*C8,0)</f>
        <v/>
      </c>
      <c r="D17" s="17">
        <f>ROUND(D16*D8,0)</f>
        <v/>
      </c>
      <c r="E17" s="4" t="inlineStr"/>
      <c r="F17" s="10" t="inlineStr">
        <is>
          <t>有料総数 × Light比率</t>
        </is>
      </c>
      <c r="G17" s="15" t="n"/>
    </row>
    <row r="18">
      <c r="A18" s="4" t="inlineStr">
        <is>
          <t xml:space="preserve">　うち Proプラン（人）</t>
        </is>
      </c>
      <c r="B18" s="17">
        <f>ROUND(B16*(1-B8),0)</f>
        <v/>
      </c>
      <c r="C18" s="17">
        <f>ROUND(C16*(1-C8),0)</f>
        <v/>
      </c>
      <c r="D18" s="17">
        <f>ROUND(D16*(1-D8),0)</f>
        <v/>
      </c>
      <c r="E18" s="4" t="inlineStr"/>
      <c r="F18" s="4" t="inlineStr">
        <is>
          <t>有料総数 × (1-Light比率)</t>
        </is>
      </c>
      <c r="G18" s="15" t="n"/>
    </row>
    <row r="19">
      <c r="A19" s="10" t="inlineStr">
        <is>
          <t>月間売上（Light）</t>
        </is>
      </c>
      <c r="B19" s="37">
        <f>B17*'1_原価計算'!E23</f>
        <v/>
      </c>
      <c r="C19" s="37">
        <f>C17*'1_原価計算'!E23</f>
        <v/>
      </c>
      <c r="D19" s="37">
        <f>D17*'1_原価計算'!E23</f>
        <v/>
      </c>
      <c r="E19" s="4" t="inlineStr"/>
      <c r="F19" s="10" t="inlineStr">
        <is>
          <t>Light人数 × 純売上単価(¥)</t>
        </is>
      </c>
      <c r="G19" s="15" t="n"/>
    </row>
    <row r="20">
      <c r="A20" s="4" t="inlineStr">
        <is>
          <t>月間売上（Pro）</t>
        </is>
      </c>
      <c r="B20" s="37">
        <f>B18*'1_原価計算'!E24</f>
        <v/>
      </c>
      <c r="C20" s="37">
        <f>C18*'1_原価計算'!E24</f>
        <v/>
      </c>
      <c r="D20" s="37">
        <f>D18*'1_原価計算'!E24</f>
        <v/>
      </c>
      <c r="E20" s="4" t="inlineStr"/>
      <c r="F20" s="4" t="inlineStr">
        <is>
          <t>Pro人数 × 純売上単価(¥)</t>
        </is>
      </c>
      <c r="G20" s="15" t="n"/>
    </row>
    <row r="21">
      <c r="A21" s="10" t="inlineStr">
        <is>
          <t>月間売上合計</t>
        </is>
      </c>
      <c r="B21" s="38">
        <f>B19+B20</f>
        <v/>
      </c>
      <c r="C21" s="38">
        <f>C19+C20</f>
        <v/>
      </c>
      <c r="D21" s="38">
        <f>D19+D20</f>
        <v/>
      </c>
      <c r="E21" s="4" t="inlineStr"/>
      <c r="F21" s="10" t="inlineStr">
        <is>
          <t>Light売上 + Pro売上</t>
        </is>
      </c>
      <c r="G21" s="15" t="n"/>
    </row>
    <row r="22">
      <c r="A22" s="4" t="inlineStr">
        <is>
          <t>月間AIコスト（Freeユーザー）</t>
        </is>
      </c>
      <c r="B22" s="36">
        <f>MAX(0,B6-B16)*10*B10</f>
        <v/>
      </c>
      <c r="C22" s="36">
        <f>MAX(0,C6-C16)*10*C10</f>
        <v/>
      </c>
      <c r="D22" s="36">
        <f>MAX(0,D6-D16)*10*D10</f>
        <v/>
      </c>
      <c r="E22" s="4" t="inlineStr"/>
      <c r="F22" s="4" t="inlineStr">
        <is>
          <t>Free人数 × 10回 × 1回コスト</t>
        </is>
      </c>
      <c r="G22" s="15" t="n"/>
    </row>
    <row r="23">
      <c r="A23" s="10" t="inlineStr">
        <is>
          <t>月間AIコスト（Light）</t>
        </is>
      </c>
      <c r="B23" s="36">
        <f>B17*B11*B10</f>
        <v/>
      </c>
      <c r="C23" s="36">
        <f>C17*C11*C10</f>
        <v/>
      </c>
      <c r="D23" s="36">
        <f>D17*D11*D10</f>
        <v/>
      </c>
      <c r="E23" s="4" t="inlineStr"/>
      <c r="F23" s="10" t="inlineStr">
        <is>
          <t>Light人数 × 想定利用回数 × 1回コスト</t>
        </is>
      </c>
      <c r="G23" s="15" t="n"/>
    </row>
    <row r="24">
      <c r="A24" s="4" t="inlineStr">
        <is>
          <t>月間AIコスト（Pro）</t>
        </is>
      </c>
      <c r="B24" s="36">
        <f>B18*B12*B10</f>
        <v/>
      </c>
      <c r="C24" s="36">
        <f>C18*C12*C10</f>
        <v/>
      </c>
      <c r="D24" s="36">
        <f>D18*D12*D10</f>
        <v/>
      </c>
      <c r="E24" s="4" t="inlineStr"/>
      <c r="F24" s="4" t="inlineStr">
        <is>
          <t>Pro人数 × 想定利用回数 × 1回コスト</t>
        </is>
      </c>
      <c r="G24" s="15" t="n"/>
    </row>
    <row r="25">
      <c r="A25" s="10" t="inlineStr">
        <is>
          <t>月間AIコスト合計</t>
        </is>
      </c>
      <c r="B25" s="39">
        <f>B22+B23+B24</f>
        <v/>
      </c>
      <c r="C25" s="39">
        <f>C22+C23+C24</f>
        <v/>
      </c>
      <c r="D25" s="39">
        <f>D22+D23+D24</f>
        <v/>
      </c>
      <c r="E25" s="4" t="inlineStr"/>
      <c r="F25" s="10" t="inlineStr">
        <is>
          <t>全AIコスト合計</t>
        </is>
      </c>
      <c r="G25" s="15" t="n"/>
    </row>
    <row r="26">
      <c r="A26" s="4" t="inlineStr">
        <is>
          <t>Firebase/インフラコスト</t>
        </is>
      </c>
      <c r="B26" s="34" t="n">
        <v>500</v>
      </c>
      <c r="C26" s="34" t="n">
        <v>1000</v>
      </c>
      <c r="D26" s="34" t="n">
        <v>3000</v>
      </c>
      <c r="E26" s="4" t="inlineStr"/>
      <c r="F26" s="4" t="inlineStr">
        <is>
          <t>小規模は無料枠内を想定</t>
        </is>
      </c>
      <c r="G26" s="15" t="n"/>
    </row>
    <row r="27">
      <c r="A27" s="10" t="inlineStr">
        <is>
          <t>月間純利益</t>
        </is>
      </c>
      <c r="B27" s="40">
        <f>B21-B25-B26</f>
        <v/>
      </c>
      <c r="C27" s="40">
        <f>C21-C25-C26</f>
        <v/>
      </c>
      <c r="D27" s="40">
        <f>D21-D25-D26</f>
        <v/>
      </c>
      <c r="E27" s="4" t="inlineStr"/>
      <c r="F27" s="10" t="inlineStr">
        <is>
          <t>売上 - AIコスト - インフラ</t>
        </is>
      </c>
      <c r="G27" s="15" t="n"/>
    </row>
    <row r="28">
      <c r="A28" s="4" t="inlineStr">
        <is>
          <t>利益率</t>
        </is>
      </c>
      <c r="B28" s="41">
        <f>IF(B21=0,"-",B27/B21)</f>
        <v/>
      </c>
      <c r="C28" s="41">
        <f>IF(C21=0,"-",C27/C21)</f>
        <v/>
      </c>
      <c r="D28" s="41">
        <f>IF(D21=0,"-",D27/D21)</f>
        <v/>
      </c>
      <c r="E28" s="4" t="inlineStr"/>
      <c r="F28" s="4" t="inlineStr">
        <is>
          <t>純利益 ÷ 売上</t>
        </is>
      </c>
      <c r="G28" s="15" t="n"/>
    </row>
    <row r="29">
      <c r="A29" s="10" t="inlineStr">
        <is>
          <t>損益分岐点（有料ユーザー数）</t>
        </is>
      </c>
      <c r="B29" s="17">
        <f>IFERROR(ROUND(B26/('1_原価計算'!E23*B8+'1_原価計算'!E24*(1-B8)-B10*(B8*B11+(1-B8)*B12)),0),"計算不可")</f>
        <v/>
      </c>
      <c r="C29" s="17">
        <f>IFERROR(ROUND(C26/('1_原価計算'!E23*C8+'1_原価計算'!E24*(1-C8)-C10*(C8*C11+(1-C8)*C12)),0),"計算不可")</f>
        <v/>
      </c>
      <c r="D29" s="17">
        <f>IFERROR(ROUND(D26/('1_原価計算'!E23*D8+'1_原価計算'!E24*(1-D8)-D10*(D8*D11+(1-D8)*D12)),0),"計算不可")</f>
        <v/>
      </c>
      <c r="E29" s="4" t="inlineStr"/>
      <c r="F29" s="10" t="inlineStr">
        <is>
          <t>固定コスト ÷ 1ユーザー限界利益</t>
        </is>
      </c>
      <c r="G29" s="15" t="n"/>
    </row>
    <row r="30"/>
    <row r="31"/>
    <row r="32">
      <c r="A32" s="45" t="inlineStr">
        <is>
          <t>【セグメント別・全体利益率分析】</t>
        </is>
      </c>
    </row>
    <row r="33">
      <c r="A33" s="46" t="inlineStr">
        <is>
          <t>利益率</t>
        </is>
      </c>
      <c r="B33" s="46" t="inlineStr">
        <is>
          <t>保守的</t>
        </is>
      </c>
      <c r="C33" s="46" t="inlineStr">
        <is>
          <t>標準</t>
        </is>
      </c>
      <c r="D33" s="46" t="inlineStr">
        <is>
          <t>楽観的</t>
        </is>
      </c>
      <c r="E33" s="46" t="inlineStr"/>
      <c r="F33" s="46" t="inlineStr">
        <is>
          <t>計算式</t>
        </is>
      </c>
      <c r="G33" s="46" t="inlineStr"/>
    </row>
    <row r="34">
      <c r="A34" s="47" t="inlineStr">
        <is>
          <t>Freeセグメント 利益率</t>
        </is>
      </c>
      <c r="B34" s="48">
        <f>IF(B16=0,"-",-B22/B22)</f>
        <v/>
      </c>
      <c r="C34" s="48">
        <f>IF(C16=0,"-",-C22/C22)</f>
        <v/>
      </c>
      <c r="D34" s="48">
        <f>IF(D16=0,"-",-D22/D22)</f>
        <v/>
      </c>
      <c r="F34" s="49" t="inlineStr">
        <is>
          <t>Free: -100% (コストのみ、売上なし)</t>
        </is>
      </c>
    </row>
    <row r="35">
      <c r="A35" s="47" t="inlineStr">
        <is>
          <t>Lightセグメント 利益率</t>
        </is>
      </c>
      <c r="B35" s="48">
        <f>IF(B17=0,"-",(B19-B23)/B19)</f>
        <v/>
      </c>
      <c r="C35" s="48">
        <f>IF(C17=0,"-",(C19-C23)/C19)</f>
        <v/>
      </c>
      <c r="D35" s="48">
        <f>IF(D17=0,"-",(D19-D23)/D19)</f>
        <v/>
      </c>
      <c r="F35" s="49" t="inlineStr">
        <is>
          <t>(セグメント売上 - セグメントAIコスト) / セグメント売上</t>
        </is>
      </c>
    </row>
    <row r="36">
      <c r="A36" s="47" t="inlineStr">
        <is>
          <t>Proセグメント 利益率</t>
        </is>
      </c>
      <c r="B36" s="48">
        <f>IF(B18=0,"-",(B20-B24)/B20)</f>
        <v/>
      </c>
      <c r="C36" s="48">
        <f>IF(C18=0,"-",(C20-C24)/C20)</f>
        <v/>
      </c>
      <c r="D36" s="48">
        <f>IF(D18=0,"-",(D20-D24)/D20)</f>
        <v/>
      </c>
      <c r="F36" s="49" t="inlineStr">
        <is>
          <t>(セグメント売上 - セグメントAIコスト) / セグメント売上</t>
        </is>
      </c>
    </row>
    <row r="37">
      <c r="A37" s="50" t="inlineStr">
        <is>
          <t>全体 利益率（全ユーザー平均）</t>
        </is>
      </c>
      <c r="B37" s="51">
        <f>IF(B21=0,"-",(B21-B25-B26)/B21)</f>
        <v/>
      </c>
      <c r="C37" s="51">
        <f>IF(C21=0,"-",(C21-C25-C26)/C21)</f>
        <v/>
      </c>
      <c r="D37" s="51">
        <f>IF(D21=0,"-",(D21-D25-D26)/D21)</f>
        <v/>
      </c>
      <c r="F37" s="49" t="inlineStr">
        <is>
          <t>(全売上 - 全AIコスト - インフラ) / 全売上</t>
        </is>
      </c>
    </row>
    <row r="38"/>
    <row r="39">
      <c r="A39" s="14" t="inlineStr">
        <is>
          <t>※ Freeユーザーは売上0なため利益率-100%（コスト負担のみ）。有料ユーザーのアップセルと継続率向上が収益性向上のカギ。</t>
        </is>
      </c>
    </row>
    <row r="40"/>
  </sheetData>
  <mergeCells count="31">
    <mergeCell ref="A32:G32"/>
    <mergeCell ref="A14:G14"/>
    <mergeCell ref="F11:G11"/>
    <mergeCell ref="F29:G29"/>
    <mergeCell ref="F10:G10"/>
    <mergeCell ref="F16:G16"/>
    <mergeCell ref="F19:G19"/>
    <mergeCell ref="F25:G25"/>
    <mergeCell ref="F34:G34"/>
    <mergeCell ref="F6:G6"/>
    <mergeCell ref="F7:G7"/>
    <mergeCell ref="F21:G21"/>
    <mergeCell ref="F12:G12"/>
    <mergeCell ref="F24:G24"/>
    <mergeCell ref="A39:G39"/>
    <mergeCell ref="F5:G5"/>
    <mergeCell ref="F20:G20"/>
    <mergeCell ref="F18:G18"/>
    <mergeCell ref="F36:G36"/>
    <mergeCell ref="F26:G26"/>
    <mergeCell ref="F17:G17"/>
    <mergeCell ref="F35:G35"/>
    <mergeCell ref="F8:G8"/>
    <mergeCell ref="A1:G1"/>
    <mergeCell ref="F23:G23"/>
    <mergeCell ref="F22:G22"/>
    <mergeCell ref="F28:G28"/>
    <mergeCell ref="F27:G27"/>
    <mergeCell ref="F9:G9"/>
    <mergeCell ref="F37:G37"/>
    <mergeCell ref="A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マイフォーチューン — 価格感応度分析</t>
        </is>
      </c>
    </row>
    <row r="3">
      <c r="A3" s="3" t="inlineStr">
        <is>
          <t>【前提: 価格弾力性の仮定（標準シナリオベース）】</t>
        </is>
      </c>
      <c r="B3" s="33" t="n"/>
      <c r="C3" s="33" t="n"/>
      <c r="D3" s="33" t="n"/>
      <c r="E3" s="33" t="n"/>
      <c r="F3" s="33" t="n"/>
      <c r="G3" s="33" t="n"/>
      <c r="H3" s="15" t="n"/>
    </row>
    <row r="4">
      <c r="A4" s="4" t="inlineStr">
        <is>
          <t>標準シナリオ 累積ユーザー数</t>
        </is>
      </c>
      <c r="B4" s="5" t="n">
        <v>8000</v>
      </c>
    </row>
    <row r="5">
      <c r="A5" s="10" t="inlineStr">
        <is>
          <t>基準転換率（¥680/¥1,500時）</t>
        </is>
      </c>
      <c r="B5" s="35" t="n">
        <v>0.03</v>
      </c>
    </row>
    <row r="6">
      <c r="A6" s="4" t="inlineStr">
        <is>
          <t>価格弾力性（10%値上げ→転換率X%減）</t>
        </is>
      </c>
      <c r="B6" s="35" t="n">
        <v>0.05</v>
      </c>
    </row>
    <row r="7">
      <c r="A7" s="10" t="inlineStr">
        <is>
          <t>Light:Pro比率（固定）</t>
        </is>
      </c>
      <c r="B7" s="35" t="n">
        <v>0.65</v>
      </c>
    </row>
    <row r="8">
      <c r="A8" s="4" t="inlineStr">
        <is>
          <t>Google Play手数料</t>
        </is>
      </c>
      <c r="B8" s="35" t="n">
        <v>0.3</v>
      </c>
    </row>
    <row r="10">
      <c r="A10" s="3" t="inlineStr">
        <is>
          <t>【Lightプラン 価格変更シミュレーション（Proは¥1,500固定）】</t>
        </is>
      </c>
      <c r="B10" s="33" t="n"/>
      <c r="C10" s="33" t="n"/>
      <c r="D10" s="33" t="n"/>
      <c r="E10" s="33" t="n"/>
      <c r="F10" s="33" t="n"/>
      <c r="G10" s="33" t="n"/>
      <c r="H10" s="15" t="n"/>
    </row>
    <row r="11" ht="24" customHeight="1">
      <c r="A11" s="6" t="inlineStr">
        <is>
          <t>Lightプラン価格</t>
        </is>
      </c>
      <c r="B11" s="6" t="inlineStr">
        <is>
          <t>価格変化率</t>
        </is>
      </c>
      <c r="C11" s="6" t="inlineStr">
        <is>
          <t>調整後転換率</t>
        </is>
      </c>
      <c r="D11" s="6" t="inlineStr">
        <is>
          <t>有料ユーザー数</t>
        </is>
      </c>
      <c r="E11" s="6" t="inlineStr">
        <is>
          <t>Light人数</t>
        </is>
      </c>
      <c r="F11" s="6" t="inlineStr">
        <is>
          <t>Pro人数</t>
        </is>
      </c>
      <c r="G11" s="6" t="inlineStr">
        <is>
          <t>月間売上合計</t>
        </is>
      </c>
      <c r="H11" s="6" t="inlineStr">
        <is>
          <t>現行との差</t>
        </is>
      </c>
    </row>
    <row r="12">
      <c r="A12" s="34" t="n">
        <v>480</v>
      </c>
      <c r="B12" s="41">
        <f>(A12-680)/680</f>
        <v/>
      </c>
      <c r="C12" s="41">
        <f>MAX(0.001,B5*(1-B6*(A12-680)/680))</f>
        <v/>
      </c>
      <c r="D12" s="17">
        <f>ROUND(B4*C12,0)</f>
        <v/>
      </c>
      <c r="E12" s="17">
        <f>ROUND(D12*B7,0)</f>
        <v/>
      </c>
      <c r="F12" s="17">
        <f>D12-E12</f>
        <v/>
      </c>
      <c r="G12" s="42">
        <f>E12*A12*(1-B8)+F12*1500*(1-B8)</f>
        <v/>
      </c>
      <c r="H12" s="36">
        <f>G12-G14</f>
        <v/>
      </c>
    </row>
    <row r="13">
      <c r="A13" s="34" t="n">
        <v>580</v>
      </c>
      <c r="B13" s="41">
        <f>(A13-680)/680</f>
        <v/>
      </c>
      <c r="C13" s="41">
        <f>MAX(0.001,B5*(1-B6*(A13-680)/680))</f>
        <v/>
      </c>
      <c r="D13" s="17">
        <f>ROUND(B4*C13,0)</f>
        <v/>
      </c>
      <c r="E13" s="17">
        <f>ROUND(D13*B7,0)</f>
        <v/>
      </c>
      <c r="F13" s="17">
        <f>D13-E13</f>
        <v/>
      </c>
      <c r="G13" s="42">
        <f>E13*A13*(1-B8)+F13*1500*(1-B8)</f>
        <v/>
      </c>
      <c r="H13" s="36">
        <f>G13-G14</f>
        <v/>
      </c>
    </row>
    <row r="14">
      <c r="A14" s="43" t="n">
        <v>680</v>
      </c>
      <c r="B14" s="41">
        <f>(A14-680)/680</f>
        <v/>
      </c>
      <c r="C14" s="41">
        <f>MAX(0.001,B5*(1-B6*(A14-680)/680))</f>
        <v/>
      </c>
      <c r="D14" s="17">
        <f>ROUND(B4*C14,0)</f>
        <v/>
      </c>
      <c r="E14" s="17">
        <f>ROUND(D14*B7,0)</f>
        <v/>
      </c>
      <c r="F14" s="17">
        <f>D14-E14</f>
        <v/>
      </c>
      <c r="G14" s="42">
        <f>E14*A14*(1-B8)+F14*1500*(1-B8)</f>
        <v/>
      </c>
      <c r="H14" s="36">
        <f>G14-G14</f>
        <v/>
      </c>
    </row>
    <row r="15">
      <c r="A15" s="34" t="n">
        <v>780</v>
      </c>
      <c r="B15" s="41">
        <f>(A15-680)/680</f>
        <v/>
      </c>
      <c r="C15" s="41">
        <f>MAX(0.001,B5*(1-B6*(A15-680)/680))</f>
        <v/>
      </c>
      <c r="D15" s="17">
        <f>ROUND(B4*C15,0)</f>
        <v/>
      </c>
      <c r="E15" s="17">
        <f>ROUND(D15*B7,0)</f>
        <v/>
      </c>
      <c r="F15" s="17">
        <f>D15-E15</f>
        <v/>
      </c>
      <c r="G15" s="42">
        <f>E15*A15*(1-B8)+F15*1500*(1-B8)</f>
        <v/>
      </c>
      <c r="H15" s="36">
        <f>G15-G14</f>
        <v/>
      </c>
    </row>
    <row r="16">
      <c r="A16" s="34" t="n">
        <v>980</v>
      </c>
      <c r="B16" s="41">
        <f>(A16-680)/680</f>
        <v/>
      </c>
      <c r="C16" s="41">
        <f>MAX(0.001,B5*(1-B6*(A16-680)/680))</f>
        <v/>
      </c>
      <c r="D16" s="17">
        <f>ROUND(B4*C16,0)</f>
        <v/>
      </c>
      <c r="E16" s="17">
        <f>ROUND(D16*B7,0)</f>
        <v/>
      </c>
      <c r="F16" s="17">
        <f>D16-E16</f>
        <v/>
      </c>
      <c r="G16" s="42">
        <f>E16*A16*(1-B8)+F16*1500*(1-B8)</f>
        <v/>
      </c>
      <c r="H16" s="36">
        <f>G16-G14</f>
        <v/>
      </c>
    </row>
    <row r="19">
      <c r="A19" s="3" t="inlineStr">
        <is>
          <t>【Proプラン 価格変更シミュレーション（Lightは¥680固定）】</t>
        </is>
      </c>
      <c r="B19" s="33" t="n"/>
      <c r="C19" s="33" t="n"/>
      <c r="D19" s="33" t="n"/>
      <c r="E19" s="33" t="n"/>
      <c r="F19" s="33" t="n"/>
      <c r="G19" s="33" t="n"/>
      <c r="H19" s="15" t="n"/>
    </row>
    <row r="20" ht="24" customHeight="1">
      <c r="A20" s="6" t="inlineStr">
        <is>
          <t>Lightプラン価格</t>
        </is>
      </c>
      <c r="B20" s="6" t="inlineStr">
        <is>
          <t>価格変化率</t>
        </is>
      </c>
      <c r="C20" s="6" t="inlineStr">
        <is>
          <t>調整後転換率</t>
        </is>
      </c>
      <c r="D20" s="6" t="inlineStr">
        <is>
          <t>有料ユーザー数</t>
        </is>
      </c>
      <c r="E20" s="6" t="inlineStr">
        <is>
          <t>Light人数</t>
        </is>
      </c>
      <c r="F20" s="6" t="inlineStr">
        <is>
          <t>Pro人数</t>
        </is>
      </c>
      <c r="G20" s="6" t="inlineStr">
        <is>
          <t>月間売上合計</t>
        </is>
      </c>
      <c r="H20" s="6" t="inlineStr">
        <is>
          <t>現行との差</t>
        </is>
      </c>
    </row>
    <row r="21">
      <c r="A21" s="34" t="n">
        <v>980</v>
      </c>
      <c r="B21" s="41">
        <f>(A21-1500)/1500</f>
        <v/>
      </c>
      <c r="C21" s="41">
        <f>MAX(0.001,B5*(1-B6*(A21-1500)/1500))</f>
        <v/>
      </c>
      <c r="D21" s="17">
        <f>ROUND(B4*C21,0)</f>
        <v/>
      </c>
      <c r="E21" s="17">
        <f>ROUND(D21*B7,0)</f>
        <v/>
      </c>
      <c r="F21" s="17">
        <f>D21-E21</f>
        <v/>
      </c>
      <c r="G21" s="42">
        <f>E21*680*(1-B8)+F21*A21*(1-B8)</f>
        <v/>
      </c>
      <c r="H21" s="36">
        <f>G21-G23</f>
        <v/>
      </c>
    </row>
    <row r="22">
      <c r="A22" s="34" t="n">
        <v>1200</v>
      </c>
      <c r="B22" s="41">
        <f>(A22-1500)/1500</f>
        <v/>
      </c>
      <c r="C22" s="41">
        <f>MAX(0.001,B5*(1-B6*(A22-1500)/1500))</f>
        <v/>
      </c>
      <c r="D22" s="17">
        <f>ROUND(B4*C22,0)</f>
        <v/>
      </c>
      <c r="E22" s="17">
        <f>ROUND(D22*B7,0)</f>
        <v/>
      </c>
      <c r="F22" s="17">
        <f>D22-E22</f>
        <v/>
      </c>
      <c r="G22" s="42">
        <f>E22*680*(1-B8)+F22*A22*(1-B8)</f>
        <v/>
      </c>
      <c r="H22" s="36">
        <f>G22-G23</f>
        <v/>
      </c>
    </row>
    <row r="23">
      <c r="A23" s="43" t="n">
        <v>1500</v>
      </c>
      <c r="B23" s="41">
        <f>(A23-1500)/1500</f>
        <v/>
      </c>
      <c r="C23" s="41">
        <f>MAX(0.001,B5*(1-B6*(A23-1500)/1500))</f>
        <v/>
      </c>
      <c r="D23" s="17">
        <f>ROUND(B4*C23,0)</f>
        <v/>
      </c>
      <c r="E23" s="17">
        <f>ROUND(D23*B7,0)</f>
        <v/>
      </c>
      <c r="F23" s="17">
        <f>D23-E23</f>
        <v/>
      </c>
      <c r="G23" s="42">
        <f>E23*680*(1-B8)+F23*A23*(1-B8)</f>
        <v/>
      </c>
      <c r="H23" s="36">
        <f>G23-G23</f>
        <v/>
      </c>
    </row>
    <row r="24">
      <c r="A24" s="34" t="n">
        <v>1800</v>
      </c>
      <c r="B24" s="41">
        <f>(A24-1500)/1500</f>
        <v/>
      </c>
      <c r="C24" s="41">
        <f>MAX(0.001,B5*(1-B6*(A24-1500)/1500))</f>
        <v/>
      </c>
      <c r="D24" s="17">
        <f>ROUND(B4*C24,0)</f>
        <v/>
      </c>
      <c r="E24" s="17">
        <f>ROUND(D24*B7,0)</f>
        <v/>
      </c>
      <c r="F24" s="17">
        <f>D24-E24</f>
        <v/>
      </c>
      <c r="G24" s="42">
        <f>E24*680*(1-B8)+F24*A24*(1-B8)</f>
        <v/>
      </c>
      <c r="H24" s="36">
        <f>G24-G23</f>
        <v/>
      </c>
    </row>
    <row r="25">
      <c r="A25" s="34" t="n">
        <v>2200</v>
      </c>
      <c r="B25" s="41">
        <f>(A25-1500)/1500</f>
        <v/>
      </c>
      <c r="C25" s="41">
        <f>MAX(0.001,B5*(1-B6*(A25-1500)/1500))</f>
        <v/>
      </c>
      <c r="D25" s="17">
        <f>ROUND(B4*C25,0)</f>
        <v/>
      </c>
      <c r="E25" s="17">
        <f>ROUND(D25*B7,0)</f>
        <v/>
      </c>
      <c r="F25" s="17">
        <f>D25-E25</f>
        <v/>
      </c>
      <c r="G25" s="42">
        <f>E25*680*(1-B8)+F25*A25*(1-B8)</f>
        <v/>
      </c>
      <c r="H25" s="36">
        <f>G25-G23</f>
        <v/>
      </c>
    </row>
  </sheetData>
  <mergeCells count="9">
    <mergeCell ref="C6:H6"/>
    <mergeCell ref="A3:H3"/>
    <mergeCell ref="C5:H5"/>
    <mergeCell ref="A10:H10"/>
    <mergeCell ref="C8:H8"/>
    <mergeCell ref="A19:H19"/>
    <mergeCell ref="C4:H4"/>
    <mergeCell ref="A1:H1"/>
    <mergeCell ref="C7:H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 ht="30" customHeight="1">
      <c r="A1" s="1" t="inlineStr">
        <is>
          <t>マイフォーチューン — 競合比較・価格妥当性</t>
        </is>
      </c>
    </row>
    <row r="3" ht="28" customHeight="1">
      <c r="A3" s="6" t="inlineStr">
        <is>
          <t>アプリ/サービス</t>
        </is>
      </c>
      <c r="B3" s="6" t="inlineStr">
        <is>
          <t>月額料金（下限）</t>
        </is>
      </c>
      <c r="C3" s="6" t="inlineStr">
        <is>
          <t>月額料金（上限）</t>
        </is>
      </c>
      <c r="D3" s="6" t="inlineStr">
        <is>
          <t>AI機能</t>
        </is>
      </c>
      <c r="E3" s="6" t="inlineStr">
        <is>
          <t>パーソナライズ</t>
        </is>
      </c>
      <c r="F3" s="6" t="inlineStr">
        <is>
          <t>占術数</t>
        </is>
      </c>
      <c r="G3" s="6" t="inlineStr">
        <is>
          <t>差別化ポイント比較</t>
        </is>
      </c>
    </row>
    <row r="4" ht="20" customHeight="1">
      <c r="A4" s="3" t="inlineStr">
        <is>
          <t>── ホロスコープ系 ──</t>
        </is>
      </c>
      <c r="B4" s="33" t="n"/>
      <c r="C4" s="33" t="n"/>
      <c r="D4" s="33" t="n"/>
      <c r="E4" s="33" t="n"/>
      <c r="F4" s="33" t="n"/>
      <c r="G4" s="15" t="n"/>
    </row>
    <row r="5">
      <c r="A5" s="4" t="inlineStr">
        <is>
          <t>ザ・ホロスコープ</t>
        </is>
      </c>
      <c r="B5" s="36" t="n">
        <v>480</v>
      </c>
      <c r="C5" s="36" t="n">
        <v>980</v>
      </c>
      <c r="D5" s="25" t="inlineStr">
        <is>
          <t>なし</t>
        </is>
      </c>
      <c r="E5" s="26" t="inlineStr">
        <is>
          <t>低</t>
        </is>
      </c>
      <c r="F5" s="26" t="inlineStr">
        <is>
          <t>3〜5</t>
        </is>
      </c>
      <c r="G5" s="4" t="inlineStr">
        <is>
          <t>星座・月星座に特化</t>
        </is>
      </c>
    </row>
    <row r="6">
      <c r="A6" s="10" t="inlineStr">
        <is>
          <t>星占いパーフェクト</t>
        </is>
      </c>
      <c r="B6" s="44" t="n">
        <v>0</v>
      </c>
      <c r="C6" s="44" t="n">
        <v>480</v>
      </c>
      <c r="D6" s="28" t="inlineStr">
        <is>
          <t>なし</t>
        </is>
      </c>
      <c r="E6" s="29" t="inlineStr">
        <is>
          <t>低</t>
        </is>
      </c>
      <c r="F6" s="29" t="inlineStr">
        <is>
          <t>3</t>
        </is>
      </c>
      <c r="G6" s="10" t="inlineStr">
        <is>
          <t>無料中心、広告収入</t>
        </is>
      </c>
    </row>
    <row r="7">
      <c r="A7" s="4" t="inlineStr">
        <is>
          <t>Astro by Astrocenter</t>
        </is>
      </c>
      <c r="B7" s="36" t="n">
        <v>980</v>
      </c>
      <c r="C7" s="36" t="n">
        <v>1480</v>
      </c>
      <c r="D7" s="30" t="inlineStr">
        <is>
          <t>あり</t>
        </is>
      </c>
      <c r="E7" s="26" t="inlineStr">
        <is>
          <t>中</t>
        </is>
      </c>
      <c r="F7" s="26" t="inlineStr">
        <is>
          <t>8〜10</t>
        </is>
      </c>
      <c r="G7" s="4" t="inlineStr">
        <is>
          <t>海外発、英語コンテンツ中心</t>
        </is>
      </c>
    </row>
    <row r="8" ht="20" customHeight="1">
      <c r="A8" s="3" t="inlineStr">
        <is>
          <t>── タロット系 ──</t>
        </is>
      </c>
      <c r="B8" s="33" t="n"/>
      <c r="C8" s="33" t="n"/>
      <c r="D8" s="33" t="n"/>
      <c r="E8" s="33" t="n"/>
      <c r="F8" s="33" t="n"/>
      <c r="G8" s="15" t="n"/>
    </row>
    <row r="9">
      <c r="A9" s="4" t="inlineStr">
        <is>
          <t>ゴールデンタロット</t>
        </is>
      </c>
      <c r="B9" s="36" t="n">
        <v>0</v>
      </c>
      <c r="C9" s="36" t="n">
        <v>480</v>
      </c>
      <c r="D9" s="25" t="inlineStr">
        <is>
          <t>なし</t>
        </is>
      </c>
      <c r="E9" s="26" t="inlineStr">
        <is>
          <t>低</t>
        </is>
      </c>
      <c r="F9" s="26" t="inlineStr">
        <is>
          <t>1</t>
        </is>
      </c>
      <c r="G9" s="4" t="inlineStr">
        <is>
          <t>タロット特化、無料</t>
        </is>
      </c>
    </row>
    <row r="10">
      <c r="A10" s="10" t="inlineStr">
        <is>
          <t>タロット占い Premium</t>
        </is>
      </c>
      <c r="B10" s="44" t="n">
        <v>480</v>
      </c>
      <c r="C10" s="44" t="n">
        <v>780</v>
      </c>
      <c r="D10" s="28" t="inlineStr">
        <is>
          <t>なし</t>
        </is>
      </c>
      <c r="E10" s="29" t="inlineStr">
        <is>
          <t>低</t>
        </is>
      </c>
      <c r="F10" s="29" t="inlineStr">
        <is>
          <t>2〜3</t>
        </is>
      </c>
      <c r="G10" s="10" t="inlineStr">
        <is>
          <t>シンプルUI</t>
        </is>
      </c>
    </row>
    <row r="11" ht="20" customHeight="1">
      <c r="A11" s="3" t="inlineStr">
        <is>
          <t>── 総合占い系 ──</t>
        </is>
      </c>
      <c r="B11" s="33" t="n"/>
      <c r="C11" s="33" t="n"/>
      <c r="D11" s="33" t="n"/>
      <c r="E11" s="33" t="n"/>
      <c r="F11" s="33" t="n"/>
      <c r="G11" s="15" t="n"/>
    </row>
    <row r="12">
      <c r="A12" s="10" t="inlineStr">
        <is>
          <t>Uranai Premium</t>
        </is>
      </c>
      <c r="B12" s="44" t="n">
        <v>480</v>
      </c>
      <c r="C12" s="44" t="n">
        <v>1200</v>
      </c>
      <c r="D12" s="28" t="inlineStr">
        <is>
          <t>なし</t>
        </is>
      </c>
      <c r="E12" s="29" t="inlineStr">
        <is>
          <t>中</t>
        </is>
      </c>
      <c r="F12" s="29" t="inlineStr">
        <is>
          <t>6〜8</t>
        </is>
      </c>
      <c r="G12" s="10" t="inlineStr">
        <is>
          <t>複数占術、日本語特化</t>
        </is>
      </c>
    </row>
    <row r="13">
      <c r="A13" s="4" t="inlineStr">
        <is>
          <t>占いアプリ総合</t>
        </is>
      </c>
      <c r="B13" s="36" t="n">
        <v>380</v>
      </c>
      <c r="C13" s="36" t="n">
        <v>980</v>
      </c>
      <c r="D13" s="25" t="inlineStr">
        <is>
          <t>なし</t>
        </is>
      </c>
      <c r="E13" s="26" t="inlineStr">
        <is>
          <t>低</t>
        </is>
      </c>
      <c r="F13" s="26" t="inlineStr">
        <is>
          <t>5〜8</t>
        </is>
      </c>
      <c r="G13" s="4" t="inlineStr">
        <is>
          <t>コンテンツ量重視</t>
        </is>
      </c>
    </row>
    <row r="14" ht="20" customHeight="1">
      <c r="A14" s="3" t="inlineStr">
        <is>
          <t>── リアル占いサービス ──</t>
        </is>
      </c>
      <c r="B14" s="33" t="n"/>
      <c r="C14" s="33" t="n"/>
      <c r="D14" s="33" t="n"/>
      <c r="E14" s="33" t="n"/>
      <c r="F14" s="33" t="n"/>
      <c r="G14" s="15" t="n"/>
    </row>
    <row r="15">
      <c r="A15" s="4" t="inlineStr">
        <is>
          <t>電話占い（相場）</t>
        </is>
      </c>
      <c r="B15" s="36" t="n">
        <v>18000</v>
      </c>
      <c r="C15" s="36" t="n">
        <v>60000</v>
      </c>
      <c r="D15" s="25" t="inlineStr">
        <is>
          <t>なし</t>
        </is>
      </c>
      <c r="E15" s="26" t="inlineStr">
        <is>
          <t>高</t>
        </is>
      </c>
      <c r="F15" s="26" t="inlineStr">
        <is>
          <t>多数</t>
        </is>
      </c>
      <c r="G15" s="4" t="inlineStr">
        <is>
          <t>30分〜2時間 × ¥300〜400/分</t>
        </is>
      </c>
    </row>
    <row r="16">
      <c r="A16" s="10" t="inlineStr">
        <is>
          <t>チャット占い（相場）</t>
        </is>
      </c>
      <c r="B16" s="44" t="n">
        <v>1500</v>
      </c>
      <c r="C16" s="44" t="n">
        <v>6000</v>
      </c>
      <c r="D16" s="28" t="inlineStr">
        <is>
          <t>なし</t>
        </is>
      </c>
      <c r="E16" s="29" t="inlineStr">
        <is>
          <t>高</t>
        </is>
      </c>
      <c r="F16" s="29" t="inlineStr">
        <is>
          <t>多数</t>
        </is>
      </c>
      <c r="G16" s="10" t="inlineStr">
        <is>
          <t>1回ごと課金</t>
        </is>
      </c>
    </row>
    <row r="17" ht="20" customHeight="1">
      <c r="A17" s="3" t="inlineStr">
        <is>
          <t>── マイフォーチューン ──</t>
        </is>
      </c>
      <c r="B17" s="33" t="n"/>
      <c r="C17" s="33" t="n"/>
      <c r="D17" s="33" t="n"/>
      <c r="E17" s="33" t="n"/>
      <c r="F17" s="33" t="n"/>
      <c r="G17" s="15" t="n"/>
    </row>
    <row r="18">
      <c r="A18" s="10" t="inlineStr">
        <is>
          <t>マイフォーチューン Light</t>
        </is>
      </c>
      <c r="B18" s="44" t="n">
        <v>680</v>
      </c>
      <c r="C18" s="44" t="n">
        <v>680</v>
      </c>
      <c r="D18" s="31" t="inlineStr">
        <is>
          <t>あり</t>
        </is>
      </c>
      <c r="E18" s="29" t="inlineStr">
        <is>
          <t>高</t>
        </is>
      </c>
      <c r="F18" s="29" t="inlineStr">
        <is>
          <t>10+</t>
        </is>
      </c>
      <c r="G18" s="10" t="inlineStr">
        <is>
          <t>★AI記憶型・過去履歴学習・50回/月</t>
        </is>
      </c>
    </row>
    <row r="19">
      <c r="A19" s="4" t="inlineStr">
        <is>
          <t>マイフォーチューン Pro</t>
        </is>
      </c>
      <c r="B19" s="36" t="n">
        <v>1500</v>
      </c>
      <c r="C19" s="36" t="n">
        <v>1500</v>
      </c>
      <c r="D19" s="30" t="inlineStr">
        <is>
          <t>あり</t>
        </is>
      </c>
      <c r="E19" s="26" t="inlineStr">
        <is>
          <t>高</t>
        </is>
      </c>
      <c r="F19" s="26" t="inlineStr">
        <is>
          <t>10+</t>
        </is>
      </c>
      <c r="G19" s="4" t="inlineStr">
        <is>
          <t>★AIパーソナライズ強化・300回/月・四柱推命・縁起カレンダー</t>
        </is>
      </c>
    </row>
    <row r="22">
      <c r="A22" s="3" t="inlineStr">
        <is>
          <t>【価格妥当性 まとめ】</t>
        </is>
      </c>
      <c r="B22" s="33" t="n"/>
      <c r="C22" s="33" t="n"/>
      <c r="D22" s="33" t="n"/>
      <c r="E22" s="33" t="n"/>
      <c r="F22" s="33" t="n"/>
      <c r="G22" s="15" t="n"/>
    </row>
    <row r="23" ht="36" customHeight="1">
      <c r="A23" s="32" t="inlineStr">
        <is>
          <t>✅ Light ¥680：競合の標準価格帯（¥480〜¥980）の中央値以下。AI記憶型は希少で差別化高い。値上げ余地あり（¥780〜¥880）。</t>
        </is>
      </c>
      <c r="B23" s="33" t="n"/>
      <c r="C23" s="33" t="n"/>
      <c r="D23" s="33" t="n"/>
      <c r="E23" s="33" t="n"/>
      <c r="F23" s="33" t="n"/>
      <c r="G23" s="15" t="n"/>
    </row>
    <row r="24" ht="36" customHeight="1">
      <c r="A24" s="32" t="inlineStr">
        <is>
          <t>✅ Pro ¥1,500：総合占いアプリの最高値帯だが、300回/月 × AI分析 × 四柱推命で正当化可能。電話占い比では圧倒的コスパ。</t>
        </is>
      </c>
      <c r="B24" s="33" t="n"/>
      <c r="C24" s="33" t="n"/>
      <c r="D24" s="33" t="n"/>
      <c r="E24" s="33" t="n"/>
      <c r="F24" s="33" t="n"/>
      <c r="G24" s="15" t="n"/>
    </row>
    <row r="25" ht="36" customHeight="1">
      <c r="A25" s="32" t="inlineStr">
        <is>
          <t>⚠️ Free枠（10回/月）：競合無料プランと比較して少なめ。初期獲得のため15〜20回程度への増加を検討。</t>
        </is>
      </c>
      <c r="B25" s="33" t="n"/>
      <c r="C25" s="33" t="n"/>
      <c r="D25" s="33" t="n"/>
      <c r="E25" s="33" t="n"/>
      <c r="F25" s="33" t="n"/>
      <c r="G25" s="15" t="n"/>
    </row>
    <row r="26" ht="36" customHeight="1">
      <c r="A26" s="32" t="inlineStr">
        <is>
          <t>💡 推奨価格案：Light ¥780 / Pro ¥1,680。弾力性試算で標準シナリオ収益が約15〜20%向上見込み（Sheet3参照）。</t>
        </is>
      </c>
      <c r="B26" s="33" t="n"/>
      <c r="C26" s="33" t="n"/>
      <c r="D26" s="33" t="n"/>
      <c r="E26" s="33" t="n"/>
      <c r="F26" s="33" t="n"/>
      <c r="G26" s="15" t="n"/>
    </row>
  </sheetData>
  <mergeCells count="11">
    <mergeCell ref="A14:G14"/>
    <mergeCell ref="A1:G1"/>
    <mergeCell ref="A17:G17"/>
    <mergeCell ref="A8:G8"/>
    <mergeCell ref="A22:G22"/>
    <mergeCell ref="A4:G4"/>
    <mergeCell ref="A26:G26"/>
    <mergeCell ref="A24:G24"/>
    <mergeCell ref="A25:G25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2026-05-28T06:01:52Z</dcterms:created>
  <dcterms:modified xmlns:dcterms="http://purl.org/dc/terms/" xmlns:xsi="http://www.w3.org/2001/XMLSchema-instance" xsi:type="dcterms:W3CDTF">2026-05-28T06:05:06Z</dcterms:modified>
</cp:coreProperties>
</file>